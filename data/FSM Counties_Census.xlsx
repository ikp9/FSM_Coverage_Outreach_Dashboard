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dc-my.sharepoint.com/personal/ikp9_cdc_gov/Documents/USAPI/DSU/SEB DSU 2025_Project Materials/TA/data/"/>
    </mc:Choice>
  </mc:AlternateContent>
  <xr:revisionPtr revIDLastSave="160" documentId="8_{2CA7CE26-9419-4EE6-B710-8892336EAD06}" xr6:coauthVersionLast="47" xr6:coauthVersionMax="47" xr10:uidLastSave="{BFF6E67A-B8F9-4D26-A765-0FF9131052DC}"/>
  <bookViews>
    <workbookView xWindow="28680" yWindow="-120" windowWidth="29040" windowHeight="15720" xr2:uid="{495D235B-F210-4080-BB4B-038B74F1734C}"/>
  </bookViews>
  <sheets>
    <sheet name="FSM Villages" sheetId="1" r:id="rId1"/>
  </sheets>
  <definedNames>
    <definedName name="_xlnm._FilterDatabase" localSheetId="0" hidden="1">'FSM Villages'!$A$1:$K$76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  <c r="K45" i="1"/>
  <c r="J45" i="1"/>
  <c r="J6" i="1"/>
  <c r="K6" i="1"/>
  <c r="J20" i="1"/>
  <c r="K20" i="1"/>
  <c r="J17" i="1"/>
  <c r="K17" i="1"/>
  <c r="J27" i="1"/>
  <c r="K27" i="1"/>
  <c r="J43" i="1"/>
  <c r="K43" i="1"/>
  <c r="J3" i="1"/>
  <c r="K3" i="1"/>
  <c r="J41" i="1"/>
  <c r="K41" i="1"/>
  <c r="J69" i="1"/>
  <c r="K69" i="1"/>
  <c r="J9" i="1"/>
  <c r="K9" i="1"/>
  <c r="J53" i="1"/>
  <c r="K53" i="1"/>
  <c r="J13" i="1"/>
  <c r="K13" i="1"/>
  <c r="J65" i="1"/>
  <c r="K65" i="1"/>
  <c r="J66" i="1"/>
  <c r="K66" i="1"/>
  <c r="J73" i="1"/>
  <c r="K73" i="1"/>
  <c r="J38" i="1"/>
  <c r="K38" i="1"/>
  <c r="J67" i="1"/>
  <c r="K67" i="1"/>
  <c r="J14" i="1"/>
  <c r="K14" i="1"/>
  <c r="J60" i="1"/>
  <c r="K60" i="1"/>
  <c r="J59" i="1"/>
  <c r="K59" i="1"/>
  <c r="J15" i="1"/>
  <c r="K15" i="1"/>
  <c r="J29" i="1"/>
  <c r="K29" i="1"/>
  <c r="J74" i="1"/>
  <c r="K74" i="1"/>
  <c r="J55" i="1"/>
  <c r="K55" i="1"/>
  <c r="J5" i="1"/>
  <c r="K5" i="1"/>
  <c r="J64" i="1"/>
  <c r="K64" i="1"/>
  <c r="J58" i="1"/>
  <c r="K58" i="1"/>
  <c r="J21" i="1"/>
  <c r="K21" i="1"/>
  <c r="J54" i="1"/>
  <c r="K54" i="1"/>
  <c r="J12" i="1"/>
  <c r="K12" i="1"/>
  <c r="J75" i="1"/>
  <c r="K75" i="1"/>
  <c r="J26" i="1"/>
  <c r="K26" i="1"/>
  <c r="J19" i="1"/>
  <c r="K19" i="1"/>
  <c r="J33" i="1"/>
  <c r="K33" i="1"/>
  <c r="J61" i="1"/>
  <c r="K61" i="1"/>
  <c r="J7" i="1"/>
  <c r="K7" i="1"/>
  <c r="J76" i="1"/>
  <c r="K76" i="1"/>
  <c r="J24" i="1"/>
  <c r="K24" i="1"/>
  <c r="J25" i="1"/>
  <c r="K25" i="1"/>
  <c r="J8" i="1"/>
  <c r="K8" i="1"/>
  <c r="J42" i="1"/>
  <c r="K42" i="1"/>
  <c r="J46" i="1"/>
  <c r="K46" i="1"/>
  <c r="J35" i="1"/>
  <c r="K35" i="1"/>
  <c r="J22" i="1"/>
  <c r="K22" i="1"/>
  <c r="J10" i="1"/>
  <c r="K10" i="1"/>
  <c r="J11" i="1"/>
  <c r="K11" i="1"/>
  <c r="J28" i="1"/>
  <c r="K28" i="1"/>
  <c r="J30" i="1"/>
  <c r="K30" i="1"/>
  <c r="J49" i="1"/>
  <c r="K49" i="1"/>
  <c r="J39" i="1"/>
  <c r="K39" i="1"/>
  <c r="J31" i="1"/>
  <c r="K31" i="1"/>
  <c r="J72" i="1"/>
  <c r="K72" i="1"/>
  <c r="J63" i="1"/>
  <c r="K63" i="1"/>
  <c r="J18" i="1"/>
  <c r="K18" i="1"/>
  <c r="J4" i="1"/>
  <c r="K4" i="1"/>
  <c r="J36" i="1"/>
  <c r="K36" i="1"/>
  <c r="J34" i="1"/>
  <c r="K34" i="1"/>
  <c r="J23" i="1"/>
  <c r="K23" i="1"/>
  <c r="J62" i="1"/>
  <c r="K62" i="1"/>
  <c r="J37" i="1"/>
  <c r="K37" i="1"/>
  <c r="J56" i="1"/>
  <c r="K56" i="1"/>
  <c r="J16" i="1"/>
  <c r="K16" i="1"/>
  <c r="J50" i="1"/>
  <c r="K50" i="1"/>
  <c r="J71" i="1"/>
  <c r="K71" i="1"/>
  <c r="J48" i="1"/>
  <c r="K48" i="1"/>
  <c r="J57" i="1"/>
  <c r="K57" i="1"/>
  <c r="J47" i="1"/>
  <c r="K47" i="1"/>
  <c r="J32" i="1"/>
  <c r="K32" i="1"/>
  <c r="J44" i="1"/>
  <c r="K44" i="1"/>
  <c r="J2" i="1"/>
  <c r="K2" i="1"/>
  <c r="J52" i="1"/>
  <c r="K52" i="1"/>
  <c r="J70" i="1"/>
  <c r="K70" i="1"/>
  <c r="J40" i="1"/>
  <c r="K40" i="1"/>
  <c r="J51" i="1"/>
  <c r="K68" i="1"/>
  <c r="J68" i="1"/>
</calcChain>
</file>

<file path=xl/sharedStrings.xml><?xml version="1.0" encoding="utf-8"?>
<sst xmlns="http://schemas.openxmlformats.org/spreadsheetml/2006/main" count="365" uniqueCount="215">
  <si>
    <t>STATE</t>
  </si>
  <si>
    <t>REGION</t>
  </si>
  <si>
    <t>COUNTY</t>
  </si>
  <si>
    <t>Census_Total</t>
  </si>
  <si>
    <t>Census_Under5</t>
  </si>
  <si>
    <t>GAM_LATITUDE</t>
  </si>
  <si>
    <t>GAM_LONGITUDE</t>
  </si>
  <si>
    <t>Area_m2</t>
  </si>
  <si>
    <t>Area_ac</t>
  </si>
  <si>
    <t>Pop_Dens_m2</t>
  </si>
  <si>
    <t>Pop_Dens_Acre</t>
  </si>
  <si>
    <t>YAP</t>
  </si>
  <si>
    <t>MAIN</t>
  </si>
  <si>
    <t>DALIPEBINAW</t>
  </si>
  <si>
    <t>138.083 </t>
  </si>
  <si>
    <t>OUTER</t>
  </si>
  <si>
    <t>EAURIPIK</t>
  </si>
  <si>
    <t>6.68722 </t>
  </si>
  <si>
    <t>ELATO ISLAND</t>
  </si>
  <si>
    <t>7.51667 </t>
  </si>
  <si>
    <t>146.186 </t>
  </si>
  <si>
    <t>CHUUK</t>
  </si>
  <si>
    <t>LAGOON</t>
  </si>
  <si>
    <t>EOT ISLAND</t>
  </si>
  <si>
    <t>7.38472 </t>
  </si>
  <si>
    <t>151.736 </t>
  </si>
  <si>
    <t>ETAL</t>
  </si>
  <si>
    <t>153.586 </t>
  </si>
  <si>
    <t>FAIS</t>
  </si>
  <si>
    <t>140.522 </t>
  </si>
  <si>
    <t>FANANU</t>
  </si>
  <si>
    <t>8.55667 </t>
  </si>
  <si>
    <t>151.901 </t>
  </si>
  <si>
    <t>FANAPANGES</t>
  </si>
  <si>
    <t>7.35361 </t>
  </si>
  <si>
    <t>151.664 </t>
  </si>
  <si>
    <t>FANIF</t>
  </si>
  <si>
    <t>9.56667 </t>
  </si>
  <si>
    <t>138.133 </t>
  </si>
  <si>
    <t>FARAULEP</t>
  </si>
  <si>
    <t>8.59806 </t>
  </si>
  <si>
    <t>144.557 </t>
  </si>
  <si>
    <t>FEFEN</t>
  </si>
  <si>
    <t>7.34694 </t>
  </si>
  <si>
    <t>151.837 </t>
  </si>
  <si>
    <t>FONOTON</t>
  </si>
  <si>
    <t>7.48278 </t>
  </si>
  <si>
    <t>151.877 </t>
  </si>
  <si>
    <t>GAGIL</t>
  </si>
  <si>
    <t>9.55 </t>
  </si>
  <si>
    <t>138.167 </t>
  </si>
  <si>
    <t>GILMAN</t>
  </si>
  <si>
    <t>9.54333 </t>
  </si>
  <si>
    <t>138.166 </t>
  </si>
  <si>
    <t>HOUK</t>
  </si>
  <si>
    <t>6.69194 </t>
  </si>
  <si>
    <t>149.314 </t>
  </si>
  <si>
    <t>IFALIK</t>
  </si>
  <si>
    <t>7.25639 </t>
  </si>
  <si>
    <t>144.451 </t>
  </si>
  <si>
    <t>KANIFAY</t>
  </si>
  <si>
    <t>9.48333 </t>
  </si>
  <si>
    <t>POHNPEI</t>
  </si>
  <si>
    <t>KAPINGAMARANGI</t>
  </si>
  <si>
    <t>1.06667 </t>
  </si>
  <si>
    <t>154.767 </t>
  </si>
  <si>
    <t>KITTI</t>
  </si>
  <si>
    <t>6.83611 </t>
  </si>
  <si>
    <t>158.181 </t>
  </si>
  <si>
    <t>KOLONIA</t>
  </si>
  <si>
    <t>6.96389 </t>
  </si>
  <si>
    <t>158.208 </t>
  </si>
  <si>
    <t>KUTTU</t>
  </si>
  <si>
    <t>5.45194 </t>
  </si>
  <si>
    <t>153.46 </t>
  </si>
  <si>
    <t>LAMOTREK ISLAND</t>
  </si>
  <si>
    <t>7.46111 </t>
  </si>
  <si>
    <t>146.393 </t>
  </si>
  <si>
    <t>LEKINIOCH</t>
  </si>
  <si>
    <t>KOSRAE</t>
  </si>
  <si>
    <t>LELU</t>
  </si>
  <si>
    <t>5.33667 </t>
  </si>
  <si>
    <t>163.018 </t>
  </si>
  <si>
    <t>LOSAP</t>
  </si>
  <si>
    <t>6.89556 </t>
  </si>
  <si>
    <t>152.734 </t>
  </si>
  <si>
    <t>MAAP</t>
  </si>
  <si>
    <t>9.59028 </t>
  </si>
  <si>
    <t>138.17 </t>
  </si>
  <si>
    <t>MADOLENIHMW</t>
  </si>
  <si>
    <t>6.86667 </t>
  </si>
  <si>
    <t>158.283 </t>
  </si>
  <si>
    <t>MAKUR</t>
  </si>
  <si>
    <t>8.99083 </t>
  </si>
  <si>
    <t>150.123 </t>
  </si>
  <si>
    <t>MALEM</t>
  </si>
  <si>
    <t>5.28861 </t>
  </si>
  <si>
    <t>163.024 </t>
  </si>
  <si>
    <t>MOCH</t>
  </si>
  <si>
    <t>MURILLO</t>
  </si>
  <si>
    <t>8.66667 </t>
  </si>
  <si>
    <t>152.183 </t>
  </si>
  <si>
    <t>MWOAKILLOA</t>
  </si>
  <si>
    <t>NAMOLUK</t>
  </si>
  <si>
    <t>5.92611 </t>
  </si>
  <si>
    <t>153.111 </t>
  </si>
  <si>
    <t>NAMA</t>
  </si>
  <si>
    <t>152.577 </t>
  </si>
  <si>
    <t>NETT</t>
  </si>
  <si>
    <t>6.95417 </t>
  </si>
  <si>
    <t>158.223 </t>
  </si>
  <si>
    <t>NGULU</t>
  </si>
  <si>
    <t>8.2975 </t>
  </si>
  <si>
    <t>137.49 </t>
  </si>
  <si>
    <t>NOMWIN</t>
  </si>
  <si>
    <t>8.42972 </t>
  </si>
  <si>
    <t>151.741 </t>
  </si>
  <si>
    <t>NUKUORO</t>
  </si>
  <si>
    <t>ONEOP</t>
  </si>
  <si>
    <t>5.50472 </t>
  </si>
  <si>
    <t>153.713 </t>
  </si>
  <si>
    <t>ONOU</t>
  </si>
  <si>
    <t>8.79778 </t>
  </si>
  <si>
    <t>150.283 </t>
  </si>
  <si>
    <t>ONOUN</t>
  </si>
  <si>
    <t>8.58944 </t>
  </si>
  <si>
    <t>149.66 </t>
  </si>
  <si>
    <t>PATTA</t>
  </si>
  <si>
    <t>7.37278 </t>
  </si>
  <si>
    <t>151.581 </t>
  </si>
  <si>
    <t>PAREM</t>
  </si>
  <si>
    <t>7.35972 </t>
  </si>
  <si>
    <t>151.786 </t>
  </si>
  <si>
    <t>PIHARAR</t>
  </si>
  <si>
    <t>8.58194 </t>
  </si>
  <si>
    <t>150.407 </t>
  </si>
  <si>
    <t>PIISEMWAR</t>
  </si>
  <si>
    <t>PIIS PANEU</t>
  </si>
  <si>
    <t>PINGILAP</t>
  </si>
  <si>
    <t>6.21306 </t>
  </si>
  <si>
    <t>160.699 </t>
  </si>
  <si>
    <t>POLLAP</t>
  </si>
  <si>
    <t>7.64472 </t>
  </si>
  <si>
    <t>149.421 </t>
  </si>
  <si>
    <t>POLLE</t>
  </si>
  <si>
    <t>7.33639 </t>
  </si>
  <si>
    <t>151.577 </t>
  </si>
  <si>
    <t>PULUWAT</t>
  </si>
  <si>
    <t>7.35722 </t>
  </si>
  <si>
    <t>149.2 </t>
  </si>
  <si>
    <t>ROMONUM</t>
  </si>
  <si>
    <t>RUUL</t>
  </si>
  <si>
    <t>9.5 </t>
  </si>
  <si>
    <t>138.1 </t>
  </si>
  <si>
    <t>RUMUNG</t>
  </si>
  <si>
    <t>9.62306 </t>
  </si>
  <si>
    <t>138.16 </t>
  </si>
  <si>
    <t>RUO</t>
  </si>
  <si>
    <t>7.59722 </t>
  </si>
  <si>
    <t>151.941 </t>
  </si>
  <si>
    <t>SAPWUAHFIK</t>
  </si>
  <si>
    <t>SATAWAL</t>
  </si>
  <si>
    <t>7.35806 </t>
  </si>
  <si>
    <t>147.036 </t>
  </si>
  <si>
    <t>SATAWAN</t>
  </si>
  <si>
    <t>5.325 </t>
  </si>
  <si>
    <t>153.737 </t>
  </si>
  <si>
    <t>SIIS</t>
  </si>
  <si>
    <t>7.29611 </t>
  </si>
  <si>
    <t>151.821 </t>
  </si>
  <si>
    <t>SOKEHS</t>
  </si>
  <si>
    <t>6.96944 </t>
  </si>
  <si>
    <t>158.188 </t>
  </si>
  <si>
    <t>TA</t>
  </si>
  <si>
    <t>5.28333 </t>
  </si>
  <si>
    <t>153.683 </t>
  </si>
  <si>
    <t>TAFUNSAK</t>
  </si>
  <si>
    <t>5.36667 </t>
  </si>
  <si>
    <t>162.983 </t>
  </si>
  <si>
    <t>TAMATAM</t>
  </si>
  <si>
    <t>7.54333 </t>
  </si>
  <si>
    <t>149.412 </t>
  </si>
  <si>
    <t>TOLENSOM</t>
  </si>
  <si>
    <t>7.3925 </t>
  </si>
  <si>
    <t>151.592 </t>
  </si>
  <si>
    <t>TOMIL</t>
  </si>
  <si>
    <t>TONOAS</t>
  </si>
  <si>
    <t>7.37389 </t>
  </si>
  <si>
    <t>151.872 </t>
  </si>
  <si>
    <t>U</t>
  </si>
  <si>
    <t>6.95028 </t>
  </si>
  <si>
    <t>158.271 </t>
  </si>
  <si>
    <t>UDOT</t>
  </si>
  <si>
    <t>7.38333 </t>
  </si>
  <si>
    <t>151.75 </t>
  </si>
  <si>
    <t>ULITHI ATOLL</t>
  </si>
  <si>
    <t>10.0203 </t>
  </si>
  <si>
    <t>139.79 </t>
  </si>
  <si>
    <t>UMAN</t>
  </si>
  <si>
    <t>7.29861 </t>
  </si>
  <si>
    <t>UNANU</t>
  </si>
  <si>
    <t>8.75306 </t>
  </si>
  <si>
    <t>150.329 </t>
  </si>
  <si>
    <t>UTWE</t>
  </si>
  <si>
    <t>162.967 </t>
  </si>
  <si>
    <t>WEELOEY</t>
  </si>
  <si>
    <t>WENO</t>
  </si>
  <si>
    <t>7.44111 </t>
  </si>
  <si>
    <t>151.853 </t>
  </si>
  <si>
    <t>WOLEAI</t>
  </si>
  <si>
    <t>7.37556 </t>
  </si>
  <si>
    <t>143.914 </t>
  </si>
  <si>
    <t>WONEI</t>
  </si>
  <si>
    <t>7.38528 </t>
  </si>
  <si>
    <t>151.599 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</si>
</sst>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8" fillId="0" borderId="10" xfId="0" applyFont="1" applyBorder="1" applyAlignment="1">
      <alignment horizontal="left" vertical="top"/>
    </xf>
    <xf numFmtId="0" fontId="16" fillId="0" borderId="11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9B0E-4E18-43D7-BD61-6B3FE7AA6277}">
  <sheetPr filterMode="1"/>
  <dimension ref="A1:K76"/>
  <sheetViews>
    <sheetView tabSelected="1" workbookViewId="0">
      <pane ySplit="1" topLeftCell="A45" activePane="bottomLeft" state="frozen"/>
      <selection pane="bottomLeft" activeCell="D84" sqref="D84"/>
    </sheetView>
  </sheetViews>
  <sheetFormatPr defaultColWidth="8.85546875" defaultRowHeight="15" x14ac:dyDescent="0.25"/>
  <cols>
    <col min="1" max="2" width="8.85546875" style="1"/>
    <col min="3" max="3" width="17.42578125" style="1" bestFit="1" customWidth="1"/>
    <col min="4" max="4" width="13.85546875" style="1" bestFit="1" customWidth="1"/>
    <col min="5" max="5" width="16.85546875" style="1" customWidth="1"/>
    <col min="6" max="6" width="13.42578125" style="1" bestFit="1" customWidth="1"/>
    <col min="7" max="7" width="15.42578125" style="1" bestFit="1" customWidth="1"/>
    <col min="8" max="8" width="19" style="1" customWidth="1"/>
    <col min="9" max="9" width="22.28515625" style="1" customWidth="1"/>
    <col min="10" max="10" width="24" style="1" customWidth="1"/>
    <col min="11" max="11" width="26.140625" style="1" customWidth="1"/>
    <col min="12" max="16384" width="8.85546875" style="1"/>
  </cols>
  <sheetData>
    <row r="1" spans="1:1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hidden="1" x14ac:dyDescent="0.25">
      <c r="A2" s="1" t="s">
        <v>21</v>
      </c>
      <c r="B2" s="1" t="s">
        <v>15</v>
      </c>
      <c r="C2" s="1" t="s">
        <v>200</v>
      </c>
      <c r="D2" s="1">
        <v>193</v>
      </c>
      <c r="E2" s="1">
        <v>27</v>
      </c>
      <c r="F2" s="1" t="s">
        <v>201</v>
      </c>
      <c r="G2" s="1" t="s">
        <v>202</v>
      </c>
      <c r="H2" s="1">
        <v>8391</v>
      </c>
      <c r="I2" s="1">
        <v>2.0699999999999998</v>
      </c>
      <c r="J2" s="1">
        <f>(D2/H5)</f>
        <v>4.5207533027265059E-3</v>
      </c>
      <c r="K2" s="1">
        <f>(D2/I5)</f>
        <v>18.295573040098589</v>
      </c>
    </row>
    <row r="3" spans="1:11" hidden="1" x14ac:dyDescent="0.25">
      <c r="A3" s="1" t="s">
        <v>21</v>
      </c>
      <c r="B3" s="1" t="s">
        <v>15</v>
      </c>
      <c r="C3" s="1" t="s">
        <v>30</v>
      </c>
      <c r="D3" s="1">
        <v>580</v>
      </c>
      <c r="E3" s="1">
        <v>76</v>
      </c>
      <c r="F3" s="1" t="s">
        <v>31</v>
      </c>
      <c r="G3" s="1" t="s">
        <v>32</v>
      </c>
      <c r="H3" s="1">
        <v>33424</v>
      </c>
      <c r="I3" s="1">
        <v>8.2590000000000003</v>
      </c>
      <c r="J3" s="1">
        <f>(D3/H3)</f>
        <v>1.7352800382958354E-2</v>
      </c>
      <c r="K3" s="1">
        <f>(D3/I3)</f>
        <v>70.226419663397508</v>
      </c>
    </row>
    <row r="4" spans="1:11" hidden="1" x14ac:dyDescent="0.25">
      <c r="A4" s="1" t="s">
        <v>62</v>
      </c>
      <c r="B4" s="1" t="s">
        <v>15</v>
      </c>
      <c r="C4" s="1" t="s">
        <v>160</v>
      </c>
      <c r="D4" s="1">
        <v>456</v>
      </c>
      <c r="E4" s="1">
        <v>70</v>
      </c>
      <c r="F4" s="1">
        <v>5.7890804239999998</v>
      </c>
      <c r="G4" s="1">
        <v>157.1570447</v>
      </c>
      <c r="H4" s="1">
        <v>42295</v>
      </c>
      <c r="I4" s="1">
        <v>10.451000000000001</v>
      </c>
      <c r="J4" s="1">
        <f>(D4/H4)</f>
        <v>1.0781416243054735E-2</v>
      </c>
      <c r="K4" s="1">
        <f>(D4/I4)</f>
        <v>43.632188307339007</v>
      </c>
    </row>
    <row r="5" spans="1:11" hidden="1" x14ac:dyDescent="0.25">
      <c r="A5" s="1" t="s">
        <v>21</v>
      </c>
      <c r="B5" s="1" t="s">
        <v>15</v>
      </c>
      <c r="C5" s="1" t="s">
        <v>83</v>
      </c>
      <c r="D5" s="1">
        <v>248</v>
      </c>
      <c r="E5" s="1">
        <v>26</v>
      </c>
      <c r="F5" s="1" t="s">
        <v>84</v>
      </c>
      <c r="G5" s="1" t="s">
        <v>85</v>
      </c>
      <c r="H5" s="1">
        <v>42692</v>
      </c>
      <c r="I5" s="1">
        <v>10.548999999999999</v>
      </c>
      <c r="J5" s="1">
        <f>(D5/H5)</f>
        <v>5.8090508760423503E-3</v>
      </c>
      <c r="K5" s="1">
        <f>(D5/I5)</f>
        <v>23.509337377950519</v>
      </c>
    </row>
    <row r="6" spans="1:11" hidden="1" x14ac:dyDescent="0.25">
      <c r="A6" s="1" t="s">
        <v>11</v>
      </c>
      <c r="B6" s="1" t="s">
        <v>15</v>
      </c>
      <c r="C6" s="1" t="s">
        <v>16</v>
      </c>
      <c r="D6" s="1">
        <v>114</v>
      </c>
      <c r="E6" s="1">
        <v>10</v>
      </c>
      <c r="F6" s="1" t="s">
        <v>17</v>
      </c>
      <c r="G6" s="1">
        <v>143.08199999999999</v>
      </c>
      <c r="H6" s="1">
        <v>97149</v>
      </c>
      <c r="I6" s="1">
        <v>24.006</v>
      </c>
      <c r="J6" s="1">
        <f>(D6/H6)</f>
        <v>1.1734552079794955E-3</v>
      </c>
      <c r="K6" s="1">
        <f>(D6/I6)</f>
        <v>4.7488127968007996</v>
      </c>
    </row>
    <row r="7" spans="1:11" hidden="1" x14ac:dyDescent="0.25">
      <c r="A7" s="1" t="s">
        <v>11</v>
      </c>
      <c r="B7" s="1" t="s">
        <v>15</v>
      </c>
      <c r="C7" s="1" t="s">
        <v>111</v>
      </c>
      <c r="D7" s="1">
        <v>6</v>
      </c>
      <c r="E7" s="1">
        <v>1</v>
      </c>
      <c r="F7" s="1" t="s">
        <v>112</v>
      </c>
      <c r="G7" s="1" t="s">
        <v>113</v>
      </c>
      <c r="H7" s="1">
        <v>142417</v>
      </c>
      <c r="I7" s="1">
        <v>35.192</v>
      </c>
      <c r="J7" s="1">
        <f>(D7/H7)</f>
        <v>4.2129801919714643E-5</v>
      </c>
      <c r="K7" s="1">
        <f>(D7/I7)</f>
        <v>0.17049329393043874</v>
      </c>
    </row>
    <row r="8" spans="1:11" hidden="1" x14ac:dyDescent="0.25">
      <c r="A8" s="1" t="s">
        <v>21</v>
      </c>
      <c r="B8" s="1" t="s">
        <v>15</v>
      </c>
      <c r="C8" s="1" t="s">
        <v>121</v>
      </c>
      <c r="D8" s="1">
        <v>172</v>
      </c>
      <c r="E8" s="1">
        <v>38</v>
      </c>
      <c r="F8" s="1" t="s">
        <v>122</v>
      </c>
      <c r="G8" s="1" t="s">
        <v>123</v>
      </c>
      <c r="H8" s="1">
        <v>271905</v>
      </c>
      <c r="I8" s="1">
        <v>67.188999999999993</v>
      </c>
      <c r="J8" s="1">
        <f>(D8/H8)</f>
        <v>6.3257387690553689E-4</v>
      </c>
      <c r="K8" s="1">
        <f>(D8/I8)</f>
        <v>2.5599428477875845</v>
      </c>
    </row>
    <row r="9" spans="1:11" hidden="1" x14ac:dyDescent="0.25">
      <c r="A9" s="1" t="s">
        <v>11</v>
      </c>
      <c r="B9" s="1" t="s">
        <v>15</v>
      </c>
      <c r="C9" s="1" t="s">
        <v>39</v>
      </c>
      <c r="D9" s="1">
        <v>193</v>
      </c>
      <c r="E9" s="1">
        <v>21</v>
      </c>
      <c r="F9" s="1" t="s">
        <v>40</v>
      </c>
      <c r="G9" s="1" t="s">
        <v>41</v>
      </c>
      <c r="H9" s="1">
        <v>277916</v>
      </c>
      <c r="I9" s="1">
        <v>68.674000000000007</v>
      </c>
      <c r="J9" s="1">
        <f>(D9/H9)</f>
        <v>6.9445443947091924E-4</v>
      </c>
      <c r="K9" s="1">
        <f>(D9/I9)</f>
        <v>2.8103794740367531</v>
      </c>
    </row>
    <row r="10" spans="1:11" hidden="1" x14ac:dyDescent="0.25">
      <c r="A10" s="1" t="s">
        <v>21</v>
      </c>
      <c r="B10" s="1" t="s">
        <v>15</v>
      </c>
      <c r="C10" t="s">
        <v>136</v>
      </c>
      <c r="D10" s="1">
        <v>258</v>
      </c>
      <c r="E10" s="1">
        <v>41</v>
      </c>
      <c r="F10" s="1">
        <v>6.8351452110000004</v>
      </c>
      <c r="G10" s="1">
        <v>152.70182629999999</v>
      </c>
      <c r="H10" s="1">
        <v>278107</v>
      </c>
      <c r="I10" s="1">
        <v>68.721000000000004</v>
      </c>
      <c r="J10" s="1">
        <f>(D10/H10)</f>
        <v>9.2770048937998689E-4</v>
      </c>
      <c r="K10" s="1">
        <f>(D10/I10)</f>
        <v>3.7543109093290257</v>
      </c>
    </row>
    <row r="11" spans="1:11" hidden="1" x14ac:dyDescent="0.25">
      <c r="A11" s="1" t="s">
        <v>21</v>
      </c>
      <c r="B11" s="1" t="s">
        <v>22</v>
      </c>
      <c r="C11" t="s">
        <v>137</v>
      </c>
      <c r="D11" s="1">
        <v>376</v>
      </c>
      <c r="E11" s="1">
        <v>58</v>
      </c>
      <c r="F11" s="1">
        <v>7.67724136</v>
      </c>
      <c r="G11" s="1">
        <v>151.7641227</v>
      </c>
      <c r="H11" s="1">
        <v>318064</v>
      </c>
      <c r="I11" s="1">
        <v>78.599999999999994</v>
      </c>
      <c r="J11" s="1">
        <f>(D11/H11)</f>
        <v>1.1821520197193018E-3</v>
      </c>
      <c r="K11" s="1">
        <f>(D11/I11)</f>
        <v>4.7837150127226469</v>
      </c>
    </row>
    <row r="12" spans="1:11" hidden="1" x14ac:dyDescent="0.25">
      <c r="A12" s="1" t="s">
        <v>21</v>
      </c>
      <c r="B12" s="1" t="s">
        <v>15</v>
      </c>
      <c r="C12" s="1" t="s">
        <v>98</v>
      </c>
      <c r="D12" s="1">
        <v>932</v>
      </c>
      <c r="E12" s="1">
        <v>65</v>
      </c>
      <c r="F12" s="1">
        <v>5.4909189999999999</v>
      </c>
      <c r="G12" s="1">
        <v>153.542079</v>
      </c>
      <c r="H12" s="1">
        <v>319670</v>
      </c>
      <c r="I12" s="1">
        <v>78.992000000000004</v>
      </c>
      <c r="J12" s="1">
        <f>(D12/H12)</f>
        <v>2.9155066161979542E-3</v>
      </c>
      <c r="K12" s="1">
        <f>(D12/I12)</f>
        <v>11.798663155762608</v>
      </c>
    </row>
    <row r="13" spans="1:11" hidden="1" x14ac:dyDescent="0.25">
      <c r="A13" s="1" t="s">
        <v>21</v>
      </c>
      <c r="B13" s="1" t="s">
        <v>22</v>
      </c>
      <c r="C13" t="s">
        <v>45</v>
      </c>
      <c r="D13" s="1">
        <v>388</v>
      </c>
      <c r="E13" s="1">
        <v>43</v>
      </c>
      <c r="F13" s="1" t="s">
        <v>46</v>
      </c>
      <c r="G13" s="1" t="s">
        <v>47</v>
      </c>
      <c r="H13" s="1">
        <v>335392</v>
      </c>
      <c r="I13" s="1">
        <v>82.88</v>
      </c>
      <c r="J13" s="1">
        <f>(D13/H13)</f>
        <v>1.1568552619024902E-3</v>
      </c>
      <c r="K13" s="1">
        <f>(D13/I13)</f>
        <v>4.6814671814671813</v>
      </c>
    </row>
    <row r="14" spans="1:11" hidden="1" x14ac:dyDescent="0.25">
      <c r="A14" s="1" t="s">
        <v>62</v>
      </c>
      <c r="B14" s="1" t="s">
        <v>15</v>
      </c>
      <c r="C14" s="1" t="s">
        <v>63</v>
      </c>
      <c r="D14" s="1">
        <v>350</v>
      </c>
      <c r="E14" s="1">
        <v>36</v>
      </c>
      <c r="F14" s="1" t="s">
        <v>64</v>
      </c>
      <c r="G14" s="1" t="s">
        <v>65</v>
      </c>
      <c r="H14" s="1">
        <v>343669</v>
      </c>
      <c r="I14" s="1">
        <v>84.921999999999997</v>
      </c>
      <c r="J14" s="1">
        <f>(D14/H14)</f>
        <v>1.018421795390332E-3</v>
      </c>
      <c r="K14" s="1">
        <f>(D14/I14)</f>
        <v>4.1214290760933565</v>
      </c>
    </row>
    <row r="15" spans="1:11" hidden="1" x14ac:dyDescent="0.25">
      <c r="A15" s="1" t="s">
        <v>21</v>
      </c>
      <c r="B15" s="1" t="s">
        <v>15</v>
      </c>
      <c r="C15" s="1" t="s">
        <v>72</v>
      </c>
      <c r="D15" s="1">
        <v>323</v>
      </c>
      <c r="E15" s="1">
        <v>28</v>
      </c>
      <c r="F15" s="1" t="s">
        <v>73</v>
      </c>
      <c r="G15" s="1" t="s">
        <v>74</v>
      </c>
      <c r="H15" s="1">
        <v>373700</v>
      </c>
      <c r="I15" s="1">
        <v>92.343000000000004</v>
      </c>
      <c r="J15" s="1">
        <f>(D15/H15)</f>
        <v>8.6432967621086437E-4</v>
      </c>
      <c r="K15" s="1">
        <f>(D15/I15)</f>
        <v>3.4978287471708738</v>
      </c>
    </row>
    <row r="16" spans="1:11" hidden="1" x14ac:dyDescent="0.25">
      <c r="A16" s="1" t="s">
        <v>21</v>
      </c>
      <c r="B16" s="1" t="s">
        <v>15</v>
      </c>
      <c r="C16" s="1" t="s">
        <v>179</v>
      </c>
      <c r="D16" s="1">
        <v>493</v>
      </c>
      <c r="E16" s="1">
        <v>75</v>
      </c>
      <c r="F16" s="1" t="s">
        <v>180</v>
      </c>
      <c r="G16" s="1" t="s">
        <v>181</v>
      </c>
      <c r="H16" s="1">
        <v>385197</v>
      </c>
      <c r="I16" s="1">
        <v>95.183999999999997</v>
      </c>
      <c r="J16" s="1">
        <f>(D16/H16)</f>
        <v>1.2798645887688637E-3</v>
      </c>
      <c r="K16" s="1">
        <f>(D16/I16)</f>
        <v>5.1794419230122708</v>
      </c>
    </row>
    <row r="17" spans="1:11" hidden="1" x14ac:dyDescent="0.25">
      <c r="A17" s="1" t="s">
        <v>21</v>
      </c>
      <c r="B17" s="1" t="s">
        <v>22</v>
      </c>
      <c r="C17" t="s">
        <v>23</v>
      </c>
      <c r="D17" s="1">
        <v>266</v>
      </c>
      <c r="E17" s="1">
        <v>29</v>
      </c>
      <c r="F17" s="1" t="s">
        <v>24</v>
      </c>
      <c r="G17" s="1" t="s">
        <v>25</v>
      </c>
      <c r="H17" s="1">
        <v>389037</v>
      </c>
      <c r="I17" s="1">
        <v>96.13</v>
      </c>
      <c r="J17" s="1">
        <f>(D17/H17)</f>
        <v>6.8373959289219275E-4</v>
      </c>
      <c r="K17" s="1">
        <f>(D17/I17)</f>
        <v>2.7670862373868719</v>
      </c>
    </row>
    <row r="18" spans="1:11" hidden="1" x14ac:dyDescent="0.25">
      <c r="A18" s="1" t="s">
        <v>21</v>
      </c>
      <c r="B18" s="1" t="s">
        <v>15</v>
      </c>
      <c r="C18" s="1" t="s">
        <v>157</v>
      </c>
      <c r="D18" s="1">
        <v>241</v>
      </c>
      <c r="E18" s="1">
        <v>0</v>
      </c>
      <c r="F18" s="1" t="s">
        <v>158</v>
      </c>
      <c r="G18" s="1" t="s">
        <v>159</v>
      </c>
      <c r="H18" s="1">
        <v>390505</v>
      </c>
      <c r="I18" s="1">
        <v>96.495999999999995</v>
      </c>
      <c r="J18" s="1">
        <f>(D18/H18)</f>
        <v>6.1714958835354221E-4</v>
      </c>
      <c r="K18" s="1">
        <f>(D18/I18)</f>
        <v>2.4975128502735866</v>
      </c>
    </row>
    <row r="19" spans="1:11" hidden="1" x14ac:dyDescent="0.25">
      <c r="A19" s="1" t="s">
        <v>21</v>
      </c>
      <c r="B19" s="1" t="s">
        <v>15</v>
      </c>
      <c r="C19" s="1" t="s">
        <v>103</v>
      </c>
      <c r="D19" s="1">
        <v>355</v>
      </c>
      <c r="E19" s="1">
        <v>46</v>
      </c>
      <c r="F19" s="1" t="s">
        <v>104</v>
      </c>
      <c r="G19" s="1" t="s">
        <v>105</v>
      </c>
      <c r="H19" s="1">
        <v>421803</v>
      </c>
      <c r="I19" s="1">
        <v>104.229</v>
      </c>
      <c r="J19" s="1">
        <f>(D19/H19)</f>
        <v>8.4162511883509599E-4</v>
      </c>
      <c r="K19" s="1">
        <f>(D19/I19)</f>
        <v>3.4059618724155465</v>
      </c>
    </row>
    <row r="20" spans="1:11" hidden="1" x14ac:dyDescent="0.25">
      <c r="A20" s="1" t="s">
        <v>11</v>
      </c>
      <c r="B20" s="1" t="s">
        <v>15</v>
      </c>
      <c r="C20" t="s">
        <v>18</v>
      </c>
      <c r="D20" s="1">
        <v>105</v>
      </c>
      <c r="E20" s="1">
        <v>13</v>
      </c>
      <c r="F20" s="1" t="s">
        <v>19</v>
      </c>
      <c r="G20" s="1" t="s">
        <v>20</v>
      </c>
      <c r="H20" s="1">
        <v>447477</v>
      </c>
      <c r="I20" s="1">
        <v>110.574</v>
      </c>
      <c r="J20" s="1">
        <f>(D20/H20)</f>
        <v>2.3464893167693534E-4</v>
      </c>
      <c r="K20" s="1">
        <f>(D20/I20)</f>
        <v>0.94959031960497042</v>
      </c>
    </row>
    <row r="21" spans="1:11" hidden="1" x14ac:dyDescent="0.25">
      <c r="A21" s="1" t="s">
        <v>21</v>
      </c>
      <c r="B21" s="1" t="s">
        <v>15</v>
      </c>
      <c r="C21" s="1" t="s">
        <v>92</v>
      </c>
      <c r="D21" s="1">
        <v>159</v>
      </c>
      <c r="E21" s="1">
        <v>23</v>
      </c>
      <c r="F21" s="1" t="s">
        <v>93</v>
      </c>
      <c r="G21" s="1" t="s">
        <v>94</v>
      </c>
      <c r="H21" s="1">
        <v>464690</v>
      </c>
      <c r="I21" s="1">
        <v>114.827</v>
      </c>
      <c r="J21" s="1">
        <f>(D21/H21)</f>
        <v>3.4216359293292301E-4</v>
      </c>
      <c r="K21" s="1">
        <f>(D21/I21)</f>
        <v>1.3846917536816254</v>
      </c>
    </row>
    <row r="22" spans="1:11" hidden="1" x14ac:dyDescent="0.25">
      <c r="A22" s="1" t="s">
        <v>21</v>
      </c>
      <c r="B22" s="1" t="s">
        <v>15</v>
      </c>
      <c r="C22" s="1" t="s">
        <v>133</v>
      </c>
      <c r="D22" s="1">
        <v>227</v>
      </c>
      <c r="E22" s="1">
        <v>36</v>
      </c>
      <c r="F22" s="1" t="s">
        <v>134</v>
      </c>
      <c r="G22" s="1" t="s">
        <v>135</v>
      </c>
      <c r="H22" s="1">
        <v>483971</v>
      </c>
      <c r="I22" s="1">
        <v>119.59099999999999</v>
      </c>
      <c r="J22" s="1">
        <f>(D22/H22)</f>
        <v>4.6903636788154661E-4</v>
      </c>
      <c r="K22" s="1">
        <f>(D22/I22)</f>
        <v>1.8981361473689493</v>
      </c>
    </row>
    <row r="23" spans="1:11" hidden="1" x14ac:dyDescent="0.25">
      <c r="A23" s="1" t="s">
        <v>21</v>
      </c>
      <c r="B23" s="1" t="s">
        <v>22</v>
      </c>
      <c r="C23" s="1" t="s">
        <v>167</v>
      </c>
      <c r="D23" s="1">
        <v>349</v>
      </c>
      <c r="E23" s="1">
        <v>43</v>
      </c>
      <c r="F23" s="1" t="s">
        <v>168</v>
      </c>
      <c r="G23" s="1" t="s">
        <v>169</v>
      </c>
      <c r="H23" s="1">
        <v>492728</v>
      </c>
      <c r="I23" s="1">
        <v>121.76</v>
      </c>
      <c r="J23" s="1">
        <f>(D23/H23)</f>
        <v>7.0830153756230613E-4</v>
      </c>
      <c r="K23" s="1">
        <f>(D23/I23)</f>
        <v>2.8662943495400786</v>
      </c>
    </row>
    <row r="24" spans="1:11" hidden="1" x14ac:dyDescent="0.25">
      <c r="A24" s="1" t="s">
        <v>62</v>
      </c>
      <c r="B24" s="1" t="s">
        <v>15</v>
      </c>
      <c r="C24" s="1" t="s">
        <v>117</v>
      </c>
      <c r="D24" s="1">
        <v>210</v>
      </c>
      <c r="E24" s="1">
        <v>24</v>
      </c>
      <c r="F24" s="1" t="s">
        <v>64</v>
      </c>
      <c r="G24" s="1" t="s">
        <v>65</v>
      </c>
      <c r="H24" s="1">
        <v>519204</v>
      </c>
      <c r="I24" s="1">
        <v>128.298</v>
      </c>
      <c r="J24" s="1">
        <f>(D24/H24)</f>
        <v>4.0446529687752789E-4</v>
      </c>
      <c r="K24" s="1">
        <f>(D24/I24)</f>
        <v>1.6368142917270729</v>
      </c>
    </row>
    <row r="25" spans="1:11" hidden="1" x14ac:dyDescent="0.25">
      <c r="A25" s="1" t="s">
        <v>21</v>
      </c>
      <c r="B25" s="1" t="s">
        <v>15</v>
      </c>
      <c r="C25" s="1" t="s">
        <v>118</v>
      </c>
      <c r="D25" s="1">
        <v>400</v>
      </c>
      <c r="E25" s="1">
        <v>52</v>
      </c>
      <c r="F25" s="1" t="s">
        <v>119</v>
      </c>
      <c r="G25" s="1" t="s">
        <v>120</v>
      </c>
      <c r="H25" s="1">
        <v>543661</v>
      </c>
      <c r="I25" s="1">
        <v>134.34100000000001</v>
      </c>
      <c r="J25" s="1">
        <f>(D25/H25)</f>
        <v>7.3575261054223125E-4</v>
      </c>
      <c r="K25" s="1">
        <f>(D25/I25)</f>
        <v>2.9774975621738706</v>
      </c>
    </row>
    <row r="26" spans="1:11" hidden="1" x14ac:dyDescent="0.25">
      <c r="A26" s="1" t="s">
        <v>62</v>
      </c>
      <c r="B26" s="1" t="s">
        <v>15</v>
      </c>
      <c r="C26" s="1" t="s">
        <v>102</v>
      </c>
      <c r="D26" s="1">
        <v>133</v>
      </c>
      <c r="E26" s="1">
        <v>11</v>
      </c>
      <c r="F26" s="1">
        <v>5.4911539459999998</v>
      </c>
      <c r="G26" s="1">
        <v>153.54251909999999</v>
      </c>
      <c r="H26" s="1">
        <v>557687</v>
      </c>
      <c r="I26" s="1">
        <v>137.80699999999999</v>
      </c>
      <c r="J26" s="1">
        <f>(D26/H26)</f>
        <v>2.3848502834026972E-4</v>
      </c>
      <c r="K26" s="1">
        <f>(D26/I26)</f>
        <v>0.96511788225561845</v>
      </c>
    </row>
    <row r="27" spans="1:11" hidden="1" x14ac:dyDescent="0.25">
      <c r="A27" s="1" t="s">
        <v>21</v>
      </c>
      <c r="B27" s="1" t="s">
        <v>15</v>
      </c>
      <c r="C27" t="s">
        <v>26</v>
      </c>
      <c r="D27" s="1">
        <v>672</v>
      </c>
      <c r="E27" s="1">
        <v>48</v>
      </c>
      <c r="F27" s="1">
        <v>5.5683299999999996</v>
      </c>
      <c r="G27" s="1" t="s">
        <v>27</v>
      </c>
      <c r="H27" s="1">
        <v>602604</v>
      </c>
      <c r="I27" s="1">
        <v>148.90600000000001</v>
      </c>
      <c r="J27" s="1">
        <f>(D27/H27)</f>
        <v>1.1151602047115518E-3</v>
      </c>
      <c r="K27" s="1">
        <f>(D27/I27)</f>
        <v>4.5129141874739771</v>
      </c>
    </row>
    <row r="28" spans="1:11" hidden="1" x14ac:dyDescent="0.25">
      <c r="A28" s="1" t="s">
        <v>62</v>
      </c>
      <c r="B28" s="1" t="s">
        <v>15</v>
      </c>
      <c r="C28" t="s">
        <v>138</v>
      </c>
      <c r="D28" s="1">
        <v>258</v>
      </c>
      <c r="E28" s="1">
        <v>20</v>
      </c>
      <c r="F28" s="1" t="s">
        <v>139</v>
      </c>
      <c r="G28" s="1" t="s">
        <v>140</v>
      </c>
      <c r="H28" s="1">
        <v>628666</v>
      </c>
      <c r="I28" s="1">
        <v>155.346</v>
      </c>
      <c r="J28" s="1">
        <f>(D28/H28)</f>
        <v>4.1039279999236476E-4</v>
      </c>
      <c r="K28" s="1">
        <f>(D28/I28)</f>
        <v>1.6608087752500869</v>
      </c>
    </row>
    <row r="29" spans="1:11" hidden="1" x14ac:dyDescent="0.25">
      <c r="A29" s="1" t="s">
        <v>11</v>
      </c>
      <c r="B29" s="1" t="s">
        <v>15</v>
      </c>
      <c r="C29" t="s">
        <v>75</v>
      </c>
      <c r="D29" s="1">
        <v>329</v>
      </c>
      <c r="E29" s="1">
        <v>32</v>
      </c>
      <c r="F29" s="1" t="s">
        <v>76</v>
      </c>
      <c r="G29" s="1" t="s">
        <v>77</v>
      </c>
      <c r="H29" s="1">
        <v>641872</v>
      </c>
      <c r="I29" s="1">
        <v>158.60900000000001</v>
      </c>
      <c r="J29" s="1">
        <f>(D29/H29)</f>
        <v>5.125632524864771E-4</v>
      </c>
      <c r="K29" s="1">
        <f>(D29/I29)</f>
        <v>2.0742833004432284</v>
      </c>
    </row>
    <row r="30" spans="1:11" hidden="1" x14ac:dyDescent="0.25">
      <c r="A30" s="1" t="s">
        <v>21</v>
      </c>
      <c r="B30" s="1" t="s">
        <v>15</v>
      </c>
      <c r="C30" s="1" t="s">
        <v>141</v>
      </c>
      <c r="D30" s="2">
        <v>1168</v>
      </c>
      <c r="E30" s="1">
        <v>132</v>
      </c>
      <c r="F30" s="1" t="s">
        <v>142</v>
      </c>
      <c r="G30" s="1" t="s">
        <v>143</v>
      </c>
      <c r="H30" s="1">
        <v>687827</v>
      </c>
      <c r="I30" s="1">
        <v>169.965</v>
      </c>
      <c r="J30" s="1">
        <f>(D30/H30)</f>
        <v>1.6981014121283404E-3</v>
      </c>
      <c r="K30" s="1">
        <f>(D30/I30)</f>
        <v>6.8720030594534167</v>
      </c>
    </row>
    <row r="31" spans="1:11" hidden="1" x14ac:dyDescent="0.25">
      <c r="A31" s="1" t="s">
        <v>21</v>
      </c>
      <c r="B31" s="1" t="s">
        <v>22</v>
      </c>
      <c r="C31" t="s">
        <v>150</v>
      </c>
      <c r="D31" s="1">
        <v>865</v>
      </c>
      <c r="E31" s="1">
        <v>139</v>
      </c>
      <c r="F31" s="1">
        <v>7.4113342470000001</v>
      </c>
      <c r="G31" s="1">
        <v>151.66969850000001</v>
      </c>
      <c r="H31" s="1">
        <v>852262</v>
      </c>
      <c r="I31" s="1">
        <v>210.6</v>
      </c>
      <c r="J31" s="1">
        <f>(D31/H31)</f>
        <v>1.014946108121681E-3</v>
      </c>
      <c r="K31" s="1">
        <f>(D31/I31)</f>
        <v>4.1073124406457744</v>
      </c>
    </row>
    <row r="32" spans="1:11" hidden="1" x14ac:dyDescent="0.25">
      <c r="A32" s="1" t="s">
        <v>11</v>
      </c>
      <c r="B32" s="1" t="s">
        <v>15</v>
      </c>
      <c r="C32" t="s">
        <v>195</v>
      </c>
      <c r="D32" s="1">
        <v>847</v>
      </c>
      <c r="E32" s="1">
        <v>77</v>
      </c>
      <c r="F32" s="1" t="s">
        <v>196</v>
      </c>
      <c r="G32" s="1" t="s">
        <v>197</v>
      </c>
      <c r="H32" s="1">
        <v>883682</v>
      </c>
      <c r="I32" s="1">
        <v>218.36199999999999</v>
      </c>
      <c r="J32" s="1">
        <f>(D32/H32)</f>
        <v>9.5848959240993933E-4</v>
      </c>
      <c r="K32" s="1">
        <f>(D32/I32)</f>
        <v>3.8788800249127595</v>
      </c>
    </row>
    <row r="33" spans="1:11" hidden="1" x14ac:dyDescent="0.25">
      <c r="A33" s="1" t="s">
        <v>21</v>
      </c>
      <c r="B33" s="1" t="s">
        <v>15</v>
      </c>
      <c r="C33" s="1" t="s">
        <v>106</v>
      </c>
      <c r="D33" s="1">
        <v>676</v>
      </c>
      <c r="E33" s="1">
        <v>65</v>
      </c>
      <c r="F33" s="1">
        <v>6.9966699999999999</v>
      </c>
      <c r="G33" s="1" t="s">
        <v>107</v>
      </c>
      <c r="H33" s="1">
        <v>910979</v>
      </c>
      <c r="I33" s="1">
        <v>225.107</v>
      </c>
      <c r="J33" s="1">
        <f>(D33/H33)</f>
        <v>7.4205881804081106E-4</v>
      </c>
      <c r="K33" s="1">
        <f>(D33/I33)</f>
        <v>3.0030163433389454</v>
      </c>
    </row>
    <row r="34" spans="1:11" hidden="1" x14ac:dyDescent="0.25">
      <c r="A34" s="1" t="s">
        <v>21</v>
      </c>
      <c r="B34" s="1" t="s">
        <v>15</v>
      </c>
      <c r="C34" t="s">
        <v>164</v>
      </c>
      <c r="D34" s="1">
        <v>692</v>
      </c>
      <c r="E34" s="1">
        <v>69</v>
      </c>
      <c r="F34" s="1" t="s">
        <v>165</v>
      </c>
      <c r="G34" s="1" t="s">
        <v>166</v>
      </c>
      <c r="H34" s="1">
        <v>1163739</v>
      </c>
      <c r="I34" s="1">
        <v>287.565</v>
      </c>
      <c r="J34" s="1">
        <f>(D34/H34)</f>
        <v>5.9463505133023817E-4</v>
      </c>
      <c r="K34" s="1">
        <f>(D34/I34)</f>
        <v>2.4064124632691741</v>
      </c>
    </row>
    <row r="35" spans="1:11" hidden="1" x14ac:dyDescent="0.25">
      <c r="A35" s="1" t="s">
        <v>21</v>
      </c>
      <c r="B35" s="1" t="s">
        <v>22</v>
      </c>
      <c r="C35" s="1" t="s">
        <v>130</v>
      </c>
      <c r="D35" s="1">
        <v>342</v>
      </c>
      <c r="E35" s="1">
        <v>44</v>
      </c>
      <c r="F35" s="1" t="s">
        <v>131</v>
      </c>
      <c r="G35" s="1" t="s">
        <v>132</v>
      </c>
      <c r="H35" s="1">
        <v>1238688</v>
      </c>
      <c r="I35" s="1">
        <v>306.08999999999997</v>
      </c>
      <c r="J35" s="1">
        <f>(D35/H35)</f>
        <v>2.7609858172518019E-4</v>
      </c>
      <c r="K35" s="1">
        <f>(D35/I35)</f>
        <v>1.1173184357541901</v>
      </c>
    </row>
    <row r="36" spans="1:11" hidden="1" x14ac:dyDescent="0.25">
      <c r="A36" s="1" t="s">
        <v>11</v>
      </c>
      <c r="B36" s="1" t="s">
        <v>15</v>
      </c>
      <c r="C36" s="1" t="s">
        <v>161</v>
      </c>
      <c r="D36" s="1">
        <v>501</v>
      </c>
      <c r="E36" s="1">
        <v>61</v>
      </c>
      <c r="F36" s="1" t="s">
        <v>162</v>
      </c>
      <c r="G36" s="1" t="s">
        <v>163</v>
      </c>
      <c r="H36" s="1">
        <v>1256341</v>
      </c>
      <c r="I36" s="1">
        <v>310.447</v>
      </c>
      <c r="J36" s="1">
        <f>(D36/H36)</f>
        <v>3.9877708361026184E-4</v>
      </c>
      <c r="K36" s="1">
        <f>(D36/I36)</f>
        <v>1.6138020338415253</v>
      </c>
    </row>
    <row r="37" spans="1:11" hidden="1" x14ac:dyDescent="0.25">
      <c r="A37" s="1" t="s">
        <v>21</v>
      </c>
      <c r="B37" s="1" t="s">
        <v>15</v>
      </c>
      <c r="C37" s="1" t="s">
        <v>173</v>
      </c>
      <c r="D37" s="1">
        <v>273</v>
      </c>
      <c r="E37" s="1">
        <v>31</v>
      </c>
      <c r="F37" s="1" t="s">
        <v>174</v>
      </c>
      <c r="G37" s="1" t="s">
        <v>175</v>
      </c>
      <c r="H37" s="1">
        <v>1286480</v>
      </c>
      <c r="I37" s="1">
        <v>317.89499999999998</v>
      </c>
      <c r="J37" s="1">
        <f>(D37/H37)</f>
        <v>2.1220695230396119E-4</v>
      </c>
      <c r="K37" s="1">
        <f>(D37/I37)</f>
        <v>0.85877412353135474</v>
      </c>
    </row>
    <row r="38" spans="1:11" hidden="1" x14ac:dyDescent="0.25">
      <c r="A38" s="1" t="s">
        <v>11</v>
      </c>
      <c r="B38" s="1" t="s">
        <v>15</v>
      </c>
      <c r="C38" s="1" t="s">
        <v>57</v>
      </c>
      <c r="D38" s="1">
        <v>578</v>
      </c>
      <c r="E38" s="1">
        <v>65</v>
      </c>
      <c r="F38" s="1" t="s">
        <v>58</v>
      </c>
      <c r="G38" s="1" t="s">
        <v>59</v>
      </c>
      <c r="H38" s="1">
        <v>1299671</v>
      </c>
      <c r="I38" s="1">
        <v>321.154</v>
      </c>
      <c r="J38" s="1">
        <f>(D38/H38)</f>
        <v>4.4472793499277896E-4</v>
      </c>
      <c r="K38" s="1">
        <f>(D38/I38)</f>
        <v>1.7997596168816208</v>
      </c>
    </row>
    <row r="39" spans="1:11" hidden="1" x14ac:dyDescent="0.25">
      <c r="A39" s="1" t="s">
        <v>21</v>
      </c>
      <c r="B39" s="1" t="s">
        <v>15</v>
      </c>
      <c r="C39" t="s">
        <v>147</v>
      </c>
      <c r="D39" s="1">
        <v>745</v>
      </c>
      <c r="E39" s="1">
        <v>79</v>
      </c>
      <c r="F39" s="1" t="s">
        <v>148</v>
      </c>
      <c r="G39" s="1" t="s">
        <v>149</v>
      </c>
      <c r="H39" s="1">
        <v>1308748</v>
      </c>
      <c r="I39" s="1">
        <v>323.39699999999999</v>
      </c>
      <c r="J39" s="1">
        <f>(D39/H39)</f>
        <v>5.692463331367077E-4</v>
      </c>
      <c r="K39" s="1">
        <f>(D39/I39)</f>
        <v>2.3036701020726849</v>
      </c>
    </row>
    <row r="40" spans="1:11" hidden="1" x14ac:dyDescent="0.25">
      <c r="A40" s="1" t="s">
        <v>11</v>
      </c>
      <c r="B40" s="1" t="s">
        <v>15</v>
      </c>
      <c r="C40" s="1" t="s">
        <v>209</v>
      </c>
      <c r="D40" s="2">
        <v>1039</v>
      </c>
      <c r="E40" s="1">
        <v>111</v>
      </c>
      <c r="F40" s="1" t="s">
        <v>210</v>
      </c>
      <c r="G40" s="1" t="s">
        <v>211</v>
      </c>
      <c r="H40" s="1">
        <v>1413473</v>
      </c>
      <c r="I40" s="1">
        <v>349.27499999999998</v>
      </c>
      <c r="J40" s="1">
        <f>(D40/H40)</f>
        <v>7.3506886937352181E-4</v>
      </c>
      <c r="K40" s="1">
        <f>(D40/I40)</f>
        <v>2.9747333762794361</v>
      </c>
    </row>
    <row r="41" spans="1:11" hidden="1" x14ac:dyDescent="0.25">
      <c r="A41" s="1" t="s">
        <v>21</v>
      </c>
      <c r="B41" s="1" t="s">
        <v>22</v>
      </c>
      <c r="C41" s="1" t="s">
        <v>33</v>
      </c>
      <c r="D41" s="1">
        <v>672</v>
      </c>
      <c r="E41" s="1">
        <v>91</v>
      </c>
      <c r="F41" s="1" t="s">
        <v>34</v>
      </c>
      <c r="G41" s="1" t="s">
        <v>35</v>
      </c>
      <c r="H41" s="1">
        <v>1619802</v>
      </c>
      <c r="I41" s="1">
        <v>400.26</v>
      </c>
      <c r="J41" s="1">
        <f>(D41/H41)</f>
        <v>4.1486552060066603E-4</v>
      </c>
      <c r="K41" s="1">
        <f>(D41/I41)</f>
        <v>1.6789087093389297</v>
      </c>
    </row>
    <row r="42" spans="1:11" hidden="1" x14ac:dyDescent="0.25">
      <c r="A42" s="1" t="s">
        <v>21</v>
      </c>
      <c r="B42" s="1" t="s">
        <v>15</v>
      </c>
      <c r="C42" s="1" t="s">
        <v>124</v>
      </c>
      <c r="D42" s="1">
        <v>633</v>
      </c>
      <c r="E42" s="1">
        <v>88</v>
      </c>
      <c r="F42" s="1" t="s">
        <v>125</v>
      </c>
      <c r="G42" s="1" t="s">
        <v>126</v>
      </c>
      <c r="H42" s="1">
        <v>2285124</v>
      </c>
      <c r="I42" s="1">
        <v>564.66399999999999</v>
      </c>
      <c r="J42" s="1">
        <f>(D42/H42)</f>
        <v>2.7700903758395607E-4</v>
      </c>
      <c r="K42" s="1">
        <f>(D42/I42)</f>
        <v>1.1210206423643088</v>
      </c>
    </row>
    <row r="43" spans="1:11" hidden="1" x14ac:dyDescent="0.25">
      <c r="A43" s="1" t="s">
        <v>11</v>
      </c>
      <c r="B43" s="1" t="s">
        <v>15</v>
      </c>
      <c r="C43" s="1" t="s">
        <v>28</v>
      </c>
      <c r="D43" s="1">
        <v>294</v>
      </c>
      <c r="E43" s="1">
        <v>38</v>
      </c>
      <c r="F43" s="1">
        <v>9.7650000000000006</v>
      </c>
      <c r="G43" s="1" t="s">
        <v>29</v>
      </c>
      <c r="H43" s="1">
        <v>2443598</v>
      </c>
      <c r="I43" s="1">
        <v>603.82399999999996</v>
      </c>
      <c r="J43" s="1">
        <f>(D43/H43)</f>
        <v>1.2031438886428946E-4</v>
      </c>
      <c r="K43" s="1">
        <f>(D43/I43)</f>
        <v>0.48689684411351658</v>
      </c>
    </row>
    <row r="44" spans="1:11" hidden="1" x14ac:dyDescent="0.25">
      <c r="A44" s="1" t="s">
        <v>21</v>
      </c>
      <c r="B44" s="1" t="s">
        <v>22</v>
      </c>
      <c r="C44" s="1" t="s">
        <v>198</v>
      </c>
      <c r="D44" s="2">
        <v>2554</v>
      </c>
      <c r="E44" s="1">
        <v>355</v>
      </c>
      <c r="F44" s="1" t="s">
        <v>199</v>
      </c>
      <c r="G44" s="1" t="s">
        <v>47</v>
      </c>
      <c r="H44" s="1">
        <v>3873278</v>
      </c>
      <c r="I44" s="1">
        <v>957.11</v>
      </c>
      <c r="J44" s="1">
        <f>(D44/H44)</f>
        <v>6.5938979851175154E-4</v>
      </c>
      <c r="K44" s="1">
        <f>(D44/I44)</f>
        <v>2.6684498124562483</v>
      </c>
    </row>
    <row r="45" spans="1:11" x14ac:dyDescent="0.25">
      <c r="A45" s="1" t="s">
        <v>21</v>
      </c>
      <c r="B45" s="1" t="s">
        <v>12</v>
      </c>
      <c r="C45" s="1" t="s">
        <v>206</v>
      </c>
      <c r="D45" s="2">
        <v>13856</v>
      </c>
      <c r="E45" s="2">
        <v>1571</v>
      </c>
      <c r="F45" s="1" t="s">
        <v>207</v>
      </c>
      <c r="G45" s="1" t="s">
        <v>208</v>
      </c>
      <c r="H45" s="1">
        <v>18907684</v>
      </c>
      <c r="I45" s="1">
        <v>4672.1899999999996</v>
      </c>
      <c r="J45" s="1">
        <f>(D45/H45)</f>
        <v>7.3282375567520596E-4</v>
      </c>
      <c r="K45" s="1">
        <f>(E45/I45)</f>
        <v>0.33624488730124419</v>
      </c>
    </row>
    <row r="46" spans="1:11" hidden="1" x14ac:dyDescent="0.25">
      <c r="A46" s="1" t="s">
        <v>21</v>
      </c>
      <c r="B46" s="1" t="s">
        <v>22</v>
      </c>
      <c r="C46" s="1" t="s">
        <v>127</v>
      </c>
      <c r="D46" s="2">
        <v>1107</v>
      </c>
      <c r="E46" s="1">
        <v>118</v>
      </c>
      <c r="F46" s="1" t="s">
        <v>128</v>
      </c>
      <c r="G46" s="1" t="s">
        <v>129</v>
      </c>
      <c r="H46" s="1">
        <v>4201979</v>
      </c>
      <c r="I46" s="1">
        <v>1038.33</v>
      </c>
      <c r="J46" s="1">
        <f>(D46/H46)</f>
        <v>2.6344729471518063E-4</v>
      </c>
      <c r="K46" s="1">
        <f>(D46/I46)</f>
        <v>1.0661350437722112</v>
      </c>
    </row>
    <row r="47" spans="1:11" hidden="1" x14ac:dyDescent="0.25">
      <c r="A47" s="1" t="s">
        <v>21</v>
      </c>
      <c r="B47" s="1" t="s">
        <v>22</v>
      </c>
      <c r="C47" s="1" t="s">
        <v>192</v>
      </c>
      <c r="D47" s="2">
        <v>1680</v>
      </c>
      <c r="E47" s="1">
        <v>227</v>
      </c>
      <c r="F47" s="1" t="s">
        <v>193</v>
      </c>
      <c r="G47" s="1" t="s">
        <v>194</v>
      </c>
      <c r="H47" s="1">
        <v>4466132</v>
      </c>
      <c r="I47" s="1">
        <v>1103.6099999999999</v>
      </c>
      <c r="J47" s="1">
        <f>(D47/H47)</f>
        <v>3.7616443042883641E-4</v>
      </c>
      <c r="K47" s="1">
        <f>(D47/I47)</f>
        <v>1.5222768912931199</v>
      </c>
    </row>
    <row r="48" spans="1:11" hidden="1" x14ac:dyDescent="0.25">
      <c r="A48" s="1" t="s">
        <v>21</v>
      </c>
      <c r="B48" s="1" t="s">
        <v>22</v>
      </c>
      <c r="C48" s="1" t="s">
        <v>186</v>
      </c>
      <c r="D48" s="2">
        <v>3517</v>
      </c>
      <c r="E48" s="1">
        <v>469</v>
      </c>
      <c r="F48" s="1" t="s">
        <v>187</v>
      </c>
      <c r="G48" s="1" t="s">
        <v>188</v>
      </c>
      <c r="H48" s="1">
        <v>8861950</v>
      </c>
      <c r="I48" s="1">
        <v>2189.84</v>
      </c>
      <c r="J48" s="1">
        <f>(D48/H48)</f>
        <v>3.9686524974751606E-4</v>
      </c>
      <c r="K48" s="1">
        <f>(D48/I48)</f>
        <v>1.6060534102948159</v>
      </c>
    </row>
    <row r="49" spans="1:11" hidden="1" x14ac:dyDescent="0.25">
      <c r="A49" s="1" t="s">
        <v>21</v>
      </c>
      <c r="B49" s="1" t="s">
        <v>22</v>
      </c>
      <c r="C49" s="1" t="s">
        <v>144</v>
      </c>
      <c r="D49" s="2">
        <v>1498</v>
      </c>
      <c r="E49" s="1">
        <v>218</v>
      </c>
      <c r="F49" s="1" t="s">
        <v>145</v>
      </c>
      <c r="G49" s="1" t="s">
        <v>146</v>
      </c>
      <c r="H49" s="1">
        <v>9090637</v>
      </c>
      <c r="I49" s="1">
        <v>2246.35</v>
      </c>
      <c r="J49" s="1">
        <f>(D49/H49)</f>
        <v>1.6478493201301515E-4</v>
      </c>
      <c r="K49" s="1">
        <f>(D49/I49)</f>
        <v>0.666859572194894</v>
      </c>
    </row>
    <row r="50" spans="1:11" hidden="1" x14ac:dyDescent="0.25">
      <c r="A50" s="1" t="s">
        <v>21</v>
      </c>
      <c r="B50" s="1" t="s">
        <v>22</v>
      </c>
      <c r="C50" t="s">
        <v>182</v>
      </c>
      <c r="D50" s="2">
        <v>4579</v>
      </c>
      <c r="E50" s="1">
        <v>701</v>
      </c>
      <c r="F50" s="1" t="s">
        <v>183</v>
      </c>
      <c r="G50" s="1" t="s">
        <v>184</v>
      </c>
      <c r="H50" s="1">
        <v>10221641</v>
      </c>
      <c r="I50" s="1">
        <v>2525.8200000000002</v>
      </c>
      <c r="J50" s="1">
        <f>(D50/H50)</f>
        <v>4.4797112322766963E-4</v>
      </c>
      <c r="K50" s="1">
        <f>(D50/I50)</f>
        <v>1.812876610368118</v>
      </c>
    </row>
    <row r="51" spans="1:11" hidden="1" x14ac:dyDescent="0.25">
      <c r="A51" s="1" t="s">
        <v>21</v>
      </c>
      <c r="B51" s="1" t="s">
        <v>22</v>
      </c>
      <c r="C51" s="1" t="s">
        <v>212</v>
      </c>
      <c r="D51" s="1">
        <v>638</v>
      </c>
      <c r="E51" s="1">
        <v>80</v>
      </c>
      <c r="F51" s="1" t="s">
        <v>213</v>
      </c>
      <c r="G51" s="1" t="s">
        <v>214</v>
      </c>
      <c r="H51" s="1">
        <v>10272883</v>
      </c>
      <c r="I51" s="1">
        <v>2538.48</v>
      </c>
      <c r="J51" s="1">
        <f>(D51/H51)</f>
        <v>6.2105253218595007E-5</v>
      </c>
      <c r="K51" s="1">
        <f>(E51/I51)</f>
        <v>3.1514922315716488E-2</v>
      </c>
    </row>
    <row r="52" spans="1:11" x14ac:dyDescent="0.25">
      <c r="A52" s="1" t="s">
        <v>79</v>
      </c>
      <c r="B52" s="1" t="s">
        <v>12</v>
      </c>
      <c r="C52" s="1" t="s">
        <v>203</v>
      </c>
      <c r="D52" s="1">
        <v>983</v>
      </c>
      <c r="E52" s="1">
        <v>120</v>
      </c>
      <c r="F52" s="1" t="s">
        <v>174</v>
      </c>
      <c r="G52" s="1" t="s">
        <v>204</v>
      </c>
      <c r="H52" s="1">
        <v>108023755.9270848</v>
      </c>
      <c r="I52" s="1">
        <v>26693.210208362299</v>
      </c>
      <c r="J52" s="1">
        <f>(D52/H52)</f>
        <v>9.0998502279768669E-6</v>
      </c>
      <c r="K52" s="1">
        <f>(D52/I52)</f>
        <v>3.6825844187599856E-2</v>
      </c>
    </row>
    <row r="53" spans="1:11" hidden="1" x14ac:dyDescent="0.25">
      <c r="A53" s="1" t="s">
        <v>21</v>
      </c>
      <c r="B53" s="1" t="s">
        <v>22</v>
      </c>
      <c r="C53" s="1" t="s">
        <v>42</v>
      </c>
      <c r="D53" s="2">
        <v>3471</v>
      </c>
      <c r="E53" s="1">
        <v>439</v>
      </c>
      <c r="F53" s="1" t="s">
        <v>43</v>
      </c>
      <c r="G53" s="1" t="s">
        <v>44</v>
      </c>
      <c r="H53" s="1">
        <v>12071481</v>
      </c>
      <c r="I53" s="1">
        <v>2982.93</v>
      </c>
      <c r="J53" s="1">
        <f>(D53/H53)</f>
        <v>2.8753721270820043E-4</v>
      </c>
      <c r="K53" s="1">
        <f>(D53/I53)</f>
        <v>1.1636210035099719</v>
      </c>
    </row>
    <row r="54" spans="1:11" x14ac:dyDescent="0.25">
      <c r="A54" s="1" t="s">
        <v>79</v>
      </c>
      <c r="B54" s="1" t="s">
        <v>12</v>
      </c>
      <c r="C54" s="1" t="s">
        <v>95</v>
      </c>
      <c r="D54" s="2">
        <v>1300</v>
      </c>
      <c r="E54" s="1">
        <v>130</v>
      </c>
      <c r="F54" s="1" t="s">
        <v>96</v>
      </c>
      <c r="G54" s="1" t="s">
        <v>97</v>
      </c>
      <c r="H54" s="1">
        <v>108023755.9270848</v>
      </c>
      <c r="I54" s="1">
        <v>26693.210208362299</v>
      </c>
      <c r="J54" s="1">
        <f>(D54/H54)</f>
        <v>1.2034389925096567E-5</v>
      </c>
      <c r="K54" s="1">
        <f>(D54/I54)</f>
        <v>4.8701523340671224E-2</v>
      </c>
    </row>
    <row r="55" spans="1:11" x14ac:dyDescent="0.25">
      <c r="A55" s="1" t="s">
        <v>79</v>
      </c>
      <c r="B55" s="1" t="s">
        <v>12</v>
      </c>
      <c r="C55" s="1" t="s">
        <v>80</v>
      </c>
      <c r="D55" s="2">
        <v>2160</v>
      </c>
      <c r="E55" s="1">
        <v>260</v>
      </c>
      <c r="F55" s="1" t="s">
        <v>81</v>
      </c>
      <c r="G55" s="1" t="s">
        <v>82</v>
      </c>
      <c r="H55" s="1">
        <v>108023755.9270848</v>
      </c>
      <c r="I55" s="1">
        <v>26693.210208362299</v>
      </c>
      <c r="J55" s="1">
        <f>(D55/H55)</f>
        <v>1.9995601721698913E-5</v>
      </c>
      <c r="K55" s="1">
        <f>(D55/I55)</f>
        <v>8.0919454166038352E-2</v>
      </c>
    </row>
    <row r="56" spans="1:11" x14ac:dyDescent="0.25">
      <c r="A56" s="1" t="s">
        <v>79</v>
      </c>
      <c r="B56" s="1" t="s">
        <v>12</v>
      </c>
      <c r="C56" s="1" t="s">
        <v>176</v>
      </c>
      <c r="D56" s="2">
        <v>2173</v>
      </c>
      <c r="E56" s="1">
        <v>290</v>
      </c>
      <c r="F56" s="1" t="s">
        <v>177</v>
      </c>
      <c r="G56" s="1" t="s">
        <v>178</v>
      </c>
      <c r="H56" s="1">
        <v>108023755.9270848</v>
      </c>
      <c r="I56" s="1">
        <v>26693.210208362299</v>
      </c>
      <c r="J56" s="1">
        <f>(D56/H56)</f>
        <v>2.0115945620949877E-5</v>
      </c>
      <c r="K56" s="1">
        <f>(D56/I56)</f>
        <v>8.1406469399445056E-2</v>
      </c>
    </row>
    <row r="57" spans="1:11" x14ac:dyDescent="0.25">
      <c r="A57" s="1" t="s">
        <v>62</v>
      </c>
      <c r="B57" s="1" t="s">
        <v>12</v>
      </c>
      <c r="C57" s="1" t="s">
        <v>189</v>
      </c>
      <c r="D57" s="2">
        <v>3192</v>
      </c>
      <c r="E57" s="1">
        <v>333</v>
      </c>
      <c r="F57" s="1" t="s">
        <v>190</v>
      </c>
      <c r="G57" s="1" t="s">
        <v>191</v>
      </c>
      <c r="H57" s="1">
        <v>347455069</v>
      </c>
      <c r="I57" s="1">
        <v>85858.02</v>
      </c>
      <c r="J57" s="1">
        <f>(D57/H57)</f>
        <v>9.1867993441189362E-6</v>
      </c>
      <c r="K57" s="1">
        <f>(D57/I57)</f>
        <v>3.717765678733332E-2</v>
      </c>
    </row>
    <row r="58" spans="1:11" x14ac:dyDescent="0.25">
      <c r="A58" s="1" t="s">
        <v>62</v>
      </c>
      <c r="B58" s="1" t="s">
        <v>12</v>
      </c>
      <c r="C58" s="1" t="s">
        <v>89</v>
      </c>
      <c r="D58" s="2">
        <v>5767</v>
      </c>
      <c r="E58" s="1">
        <v>687</v>
      </c>
      <c r="F58" s="1" t="s">
        <v>90</v>
      </c>
      <c r="G58" s="1" t="s">
        <v>91</v>
      </c>
      <c r="H58" s="1">
        <v>347455069</v>
      </c>
      <c r="I58" s="1">
        <v>85858.02</v>
      </c>
      <c r="J58" s="1">
        <f>(D58/H58)</f>
        <v>1.6597829516771276E-5</v>
      </c>
      <c r="K58" s="1">
        <f>(D58/I58)</f>
        <v>6.7169030918719064E-2</v>
      </c>
    </row>
    <row r="59" spans="1:11" x14ac:dyDescent="0.25">
      <c r="A59" s="1" t="s">
        <v>62</v>
      </c>
      <c r="B59" s="1" t="s">
        <v>12</v>
      </c>
      <c r="C59" s="1" t="s">
        <v>69</v>
      </c>
      <c r="D59" s="2">
        <v>6074</v>
      </c>
      <c r="E59" s="1">
        <v>652</v>
      </c>
      <c r="F59" s="1" t="s">
        <v>70</v>
      </c>
      <c r="G59" s="1" t="s">
        <v>71</v>
      </c>
      <c r="H59" s="1">
        <v>347455069</v>
      </c>
      <c r="I59" s="1">
        <v>85858.02</v>
      </c>
      <c r="J59" s="1">
        <f>(D59/H59)</f>
        <v>1.7481396997549632E-5</v>
      </c>
      <c r="K59" s="1">
        <f>(D59/I59)</f>
        <v>7.0744701543315344E-2</v>
      </c>
    </row>
    <row r="60" spans="1:11" x14ac:dyDescent="0.25">
      <c r="A60" s="1" t="s">
        <v>62</v>
      </c>
      <c r="B60" s="1" t="s">
        <v>12</v>
      </c>
      <c r="C60" s="1" t="s">
        <v>66</v>
      </c>
      <c r="D60" s="2">
        <v>6470</v>
      </c>
      <c r="E60" s="1">
        <v>794</v>
      </c>
      <c r="F60" s="1" t="s">
        <v>67</v>
      </c>
      <c r="G60" s="1" t="s">
        <v>68</v>
      </c>
      <c r="H60" s="1">
        <v>347455069</v>
      </c>
      <c r="I60" s="1">
        <v>85858.02</v>
      </c>
      <c r="J60" s="1">
        <f>(D60/H60)</f>
        <v>1.8621112705654613E-5</v>
      </c>
      <c r="K60" s="1">
        <f>(D60/I60)</f>
        <v>7.5356967234976993E-2</v>
      </c>
    </row>
    <row r="61" spans="1:11" x14ac:dyDescent="0.25">
      <c r="A61" s="1" t="s">
        <v>62</v>
      </c>
      <c r="B61" s="1" t="s">
        <v>12</v>
      </c>
      <c r="C61" s="1" t="s">
        <v>108</v>
      </c>
      <c r="D61" s="2">
        <v>6639</v>
      </c>
      <c r="E61" s="1">
        <v>758</v>
      </c>
      <c r="F61" s="1" t="s">
        <v>109</v>
      </c>
      <c r="G61" s="1" t="s">
        <v>110</v>
      </c>
      <c r="H61" s="1">
        <v>347455069</v>
      </c>
      <c r="I61" s="1">
        <v>85858.02</v>
      </c>
      <c r="J61" s="1">
        <f>(D61/H61)</f>
        <v>1.9107506530578202E-5</v>
      </c>
      <c r="K61" s="1">
        <f>(D61/I61)</f>
        <v>7.7325333148842698E-2</v>
      </c>
    </row>
    <row r="62" spans="1:11" x14ac:dyDescent="0.25">
      <c r="A62" s="1" t="s">
        <v>62</v>
      </c>
      <c r="B62" s="1" t="s">
        <v>12</v>
      </c>
      <c r="C62" s="1" t="s">
        <v>170</v>
      </c>
      <c r="D62" s="2">
        <v>6647</v>
      </c>
      <c r="E62" s="1">
        <v>730</v>
      </c>
      <c r="F62" s="1" t="s">
        <v>171</v>
      </c>
      <c r="G62" s="1" t="s">
        <v>172</v>
      </c>
      <c r="H62" s="1">
        <v>347455069</v>
      </c>
      <c r="I62" s="1">
        <v>85858.02</v>
      </c>
      <c r="J62" s="1">
        <f>(D62/H62)</f>
        <v>1.9130531090337901E-5</v>
      </c>
      <c r="K62" s="1">
        <f>(D62/I62)</f>
        <v>7.7418510233522739E-2</v>
      </c>
    </row>
    <row r="63" spans="1:11" x14ac:dyDescent="0.25">
      <c r="A63" s="1" t="s">
        <v>11</v>
      </c>
      <c r="B63" s="1" t="s">
        <v>12</v>
      </c>
      <c r="C63" s="1" t="s">
        <v>154</v>
      </c>
      <c r="D63" s="1">
        <v>58</v>
      </c>
      <c r="E63" s="1">
        <v>9</v>
      </c>
      <c r="F63" s="1" t="s">
        <v>155</v>
      </c>
      <c r="G63" s="1" t="s">
        <v>156</v>
      </c>
      <c r="H63" s="1">
        <v>4007918</v>
      </c>
      <c r="I63" s="1">
        <v>990.38</v>
      </c>
      <c r="J63" s="1">
        <f>(D63/H63)</f>
        <v>1.4471353954846382E-5</v>
      </c>
      <c r="K63" s="1">
        <f>(D63/I63)</f>
        <v>5.8563379712837496E-2</v>
      </c>
    </row>
    <row r="64" spans="1:11" x14ac:dyDescent="0.25">
      <c r="A64" s="1" t="s">
        <v>11</v>
      </c>
      <c r="B64" s="1" t="s">
        <v>12</v>
      </c>
      <c r="C64" s="1" t="s">
        <v>86</v>
      </c>
      <c r="D64" s="1">
        <v>621</v>
      </c>
      <c r="E64" s="1">
        <v>56</v>
      </c>
      <c r="F64" s="1" t="s">
        <v>87</v>
      </c>
      <c r="G64" s="1" t="s">
        <v>88</v>
      </c>
      <c r="H64" s="1">
        <v>10476132</v>
      </c>
      <c r="I64" s="1">
        <v>2588.71</v>
      </c>
      <c r="J64" s="1">
        <f>(D64/H64)</f>
        <v>5.9277603604078302E-5</v>
      </c>
      <c r="K64" s="1">
        <f>(D64/I64)</f>
        <v>0.23988782057472641</v>
      </c>
    </row>
    <row r="65" spans="1:11" x14ac:dyDescent="0.25">
      <c r="A65" s="1" t="s">
        <v>11</v>
      </c>
      <c r="B65" s="1" t="s">
        <v>12</v>
      </c>
      <c r="C65" s="1" t="s">
        <v>48</v>
      </c>
      <c r="D65" s="1">
        <v>863</v>
      </c>
      <c r="E65" s="1">
        <v>66</v>
      </c>
      <c r="F65" s="1" t="s">
        <v>49</v>
      </c>
      <c r="G65" s="1" t="s">
        <v>50</v>
      </c>
      <c r="H65" s="1">
        <v>27058296.332562711</v>
      </c>
      <c r="I65" s="1">
        <v>6686.2403152579091</v>
      </c>
      <c r="J65" s="1">
        <f>(D65/H65)</f>
        <v>3.1894099665153039E-5</v>
      </c>
      <c r="K65" s="1">
        <f>(D65/I65)</f>
        <v>0.12907104131908717</v>
      </c>
    </row>
    <row r="66" spans="1:11" x14ac:dyDescent="0.25">
      <c r="A66" s="1" t="s">
        <v>11</v>
      </c>
      <c r="B66" s="1" t="s">
        <v>12</v>
      </c>
      <c r="C66" s="1" t="s">
        <v>51</v>
      </c>
      <c r="D66" s="1">
        <v>252</v>
      </c>
      <c r="E66" s="1">
        <v>22</v>
      </c>
      <c r="F66" s="1" t="s">
        <v>52</v>
      </c>
      <c r="G66" s="1" t="s">
        <v>53</v>
      </c>
      <c r="H66" s="1">
        <v>54044650.555348434</v>
      </c>
      <c r="I66" s="1">
        <v>13354.703375479379</v>
      </c>
      <c r="J66" s="1">
        <f>(D66/H66)</f>
        <v>4.6628111646669028E-6</v>
      </c>
      <c r="K66" s="1">
        <f>(D66/I66)</f>
        <v>1.8869756438222217E-2</v>
      </c>
    </row>
    <row r="67" spans="1:11" x14ac:dyDescent="0.25">
      <c r="A67" s="1" t="s">
        <v>11</v>
      </c>
      <c r="B67" s="1" t="s">
        <v>12</v>
      </c>
      <c r="C67" s="1" t="s">
        <v>60</v>
      </c>
      <c r="D67" s="1">
        <v>314</v>
      </c>
      <c r="E67" s="1">
        <v>31</v>
      </c>
      <c r="F67" s="1" t="s">
        <v>61</v>
      </c>
      <c r="G67" s="1" t="s">
        <v>14</v>
      </c>
      <c r="H67" s="1">
        <v>54044650.555348434</v>
      </c>
      <c r="I67" s="1">
        <v>13354.703375479379</v>
      </c>
      <c r="J67" s="1">
        <f>(D67/H67)</f>
        <v>5.8100107369262198E-6</v>
      </c>
      <c r="K67" s="1">
        <f>(D67/I67)</f>
        <v>2.3512315561911811E-2</v>
      </c>
    </row>
    <row r="68" spans="1:11" x14ac:dyDescent="0.25">
      <c r="A68" s="1" t="s">
        <v>11</v>
      </c>
      <c r="B68" s="1" t="s">
        <v>12</v>
      </c>
      <c r="C68" s="1" t="s">
        <v>13</v>
      </c>
      <c r="D68" s="1">
        <v>397</v>
      </c>
      <c r="E68" s="1">
        <v>48</v>
      </c>
      <c r="F68" s="1">
        <v>9.5166699999999995</v>
      </c>
      <c r="G68" s="1" t="s">
        <v>14</v>
      </c>
      <c r="H68" s="1">
        <v>54044650.555348434</v>
      </c>
      <c r="I68" s="1">
        <v>13354.703375479379</v>
      </c>
      <c r="J68" s="1">
        <f>(D68/H68)</f>
        <v>7.3457779062411123E-6</v>
      </c>
      <c r="K68" s="1">
        <f>(D68/I68)</f>
        <v>2.9727354388786591E-2</v>
      </c>
    </row>
    <row r="69" spans="1:11" x14ac:dyDescent="0.25">
      <c r="A69" s="1" t="s">
        <v>11</v>
      </c>
      <c r="B69" s="1" t="s">
        <v>12</v>
      </c>
      <c r="C69" s="1" t="s">
        <v>36</v>
      </c>
      <c r="D69" s="1">
        <v>509</v>
      </c>
      <c r="E69" s="1">
        <v>55</v>
      </c>
      <c r="F69" s="1" t="s">
        <v>37</v>
      </c>
      <c r="G69" s="1" t="s">
        <v>38</v>
      </c>
      <c r="H69" s="1">
        <v>54044650.555348434</v>
      </c>
      <c r="I69" s="1">
        <v>13354.703375479379</v>
      </c>
      <c r="J69" s="1">
        <f>(D69/H69)</f>
        <v>9.4181384238708479E-6</v>
      </c>
      <c r="K69" s="1">
        <f>(D69/I69)</f>
        <v>3.8113912805774239E-2</v>
      </c>
    </row>
    <row r="70" spans="1:11" x14ac:dyDescent="0.25">
      <c r="A70" s="1" t="s">
        <v>11</v>
      </c>
      <c r="B70" s="1" t="s">
        <v>12</v>
      </c>
      <c r="C70" t="s">
        <v>205</v>
      </c>
      <c r="D70" s="2">
        <v>1031</v>
      </c>
      <c r="E70" s="1">
        <v>99</v>
      </c>
      <c r="F70" s="1">
        <v>9.5286496159999992</v>
      </c>
      <c r="G70" s="1">
        <v>138.1243523</v>
      </c>
      <c r="H70" s="1">
        <v>54044650.555348434</v>
      </c>
      <c r="I70" s="1">
        <v>13354.703375479379</v>
      </c>
      <c r="J70" s="1">
        <f>(D70/H70)</f>
        <v>1.9076818693538003E-5</v>
      </c>
      <c r="K70" s="1">
        <f>(D70/I70)</f>
        <v>7.7201265427805976E-2</v>
      </c>
    </row>
    <row r="71" spans="1:11" x14ac:dyDescent="0.25">
      <c r="A71" s="1" t="s">
        <v>11</v>
      </c>
      <c r="B71" s="1" t="s">
        <v>12</v>
      </c>
      <c r="C71" s="1" t="s">
        <v>185</v>
      </c>
      <c r="D71" s="2">
        <v>1231</v>
      </c>
      <c r="E71" s="1">
        <v>126</v>
      </c>
      <c r="F71" s="1" t="s">
        <v>52</v>
      </c>
      <c r="G71" s="1" t="s">
        <v>53</v>
      </c>
      <c r="H71" s="1">
        <v>54044650.555348434</v>
      </c>
      <c r="I71" s="1">
        <v>13354.703375479379</v>
      </c>
      <c r="J71" s="1">
        <f>(D71/H71)</f>
        <v>2.2777462475019671E-5</v>
      </c>
      <c r="K71" s="1">
        <f>(D71/I71)</f>
        <v>9.2177262600998219E-2</v>
      </c>
    </row>
    <row r="72" spans="1:11" x14ac:dyDescent="0.25">
      <c r="A72" s="1" t="s">
        <v>11</v>
      </c>
      <c r="B72" s="1" t="s">
        <v>12</v>
      </c>
      <c r="C72" t="s">
        <v>151</v>
      </c>
      <c r="D72" s="2">
        <v>2095</v>
      </c>
      <c r="E72" s="1">
        <v>219</v>
      </c>
      <c r="F72" s="1" t="s">
        <v>152</v>
      </c>
      <c r="G72" s="1" t="s">
        <v>153</v>
      </c>
      <c r="H72" s="1">
        <v>54044650.555348434</v>
      </c>
      <c r="I72" s="1">
        <v>13354.703375479379</v>
      </c>
      <c r="J72" s="1">
        <f>(D72/H72)</f>
        <v>3.8764243611020479E-5</v>
      </c>
      <c r="K72" s="1">
        <f>(D72/I72)</f>
        <v>0.15687357038918867</v>
      </c>
    </row>
    <row r="73" spans="1:11" hidden="1" x14ac:dyDescent="0.25">
      <c r="A73" s="1" t="s">
        <v>21</v>
      </c>
      <c r="B73" s="1" t="s">
        <v>15</v>
      </c>
      <c r="C73" s="1" t="s">
        <v>54</v>
      </c>
      <c r="D73" s="2">
        <v>1116</v>
      </c>
      <c r="E73" s="1">
        <v>134</v>
      </c>
      <c r="F73" s="1" t="s">
        <v>55</v>
      </c>
      <c r="G73" s="1" t="s">
        <v>56</v>
      </c>
      <c r="J73" s="1" t="e">
        <f>(D73/H73)</f>
        <v>#DIV/0!</v>
      </c>
      <c r="K73" s="1" t="e">
        <f>(D73/I73)</f>
        <v>#DIV/0!</v>
      </c>
    </row>
    <row r="74" spans="1:11" hidden="1" x14ac:dyDescent="0.25">
      <c r="A74" s="1" t="s">
        <v>21</v>
      </c>
      <c r="B74" s="1" t="s">
        <v>15</v>
      </c>
      <c r="C74" s="1" t="s">
        <v>78</v>
      </c>
      <c r="D74" s="1">
        <v>848</v>
      </c>
      <c r="E74" s="1">
        <v>75</v>
      </c>
      <c r="F74" s="1">
        <v>5.5030484739999999</v>
      </c>
      <c r="G74" s="1">
        <v>153.82168759999999</v>
      </c>
      <c r="J74" s="1" t="e">
        <f>(D74/H74)</f>
        <v>#DIV/0!</v>
      </c>
      <c r="K74" s="1" t="e">
        <f>(D74/I74)</f>
        <v>#DIV/0!</v>
      </c>
    </row>
    <row r="75" spans="1:11" hidden="1" x14ac:dyDescent="0.25">
      <c r="A75" s="1" t="s">
        <v>21</v>
      </c>
      <c r="B75" s="1" t="s">
        <v>15</v>
      </c>
      <c r="C75" s="1" t="s">
        <v>99</v>
      </c>
      <c r="D75" s="1">
        <v>329</v>
      </c>
      <c r="E75" s="1">
        <v>52</v>
      </c>
      <c r="F75" s="1" t="s">
        <v>100</v>
      </c>
      <c r="G75" s="1" t="s">
        <v>101</v>
      </c>
      <c r="J75" s="1" t="e">
        <f>(D75/H75)</f>
        <v>#DIV/0!</v>
      </c>
      <c r="K75" s="1" t="e">
        <f>(D75/I75)</f>
        <v>#DIV/0!</v>
      </c>
    </row>
    <row r="76" spans="1:11" hidden="1" x14ac:dyDescent="0.25">
      <c r="A76" s="1" t="s">
        <v>21</v>
      </c>
      <c r="B76" s="1" t="s">
        <v>15</v>
      </c>
      <c r="C76" s="1" t="s">
        <v>114</v>
      </c>
      <c r="D76" s="1">
        <v>763</v>
      </c>
      <c r="E76" s="1">
        <v>67</v>
      </c>
      <c r="F76" s="1" t="s">
        <v>115</v>
      </c>
      <c r="G76" s="1" t="s">
        <v>116</v>
      </c>
      <c r="J76" s="1" t="e">
        <f>(D76/H76)</f>
        <v>#DIV/0!</v>
      </c>
      <c r="K76" s="1" t="e">
        <f>(D76/I76)</f>
        <v>#DIV/0!</v>
      </c>
    </row>
  </sheetData>
  <autoFilter ref="A1:K76" xr:uid="{F7DA9B0E-4E18-43D7-BD61-6B3FE7AA6277}">
    <filterColumn colId="1">
      <filters>
        <filter val="MAIN"/>
      </filters>
    </filterColumn>
    <sortState xmlns:xlrd2="http://schemas.microsoft.com/office/spreadsheetml/2017/richdata2" ref="A45:K72">
      <sortCondition ref="A1:A76"/>
    </sortState>
  </autoFilter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 Villages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Valier, Madeleine (CDC/NCIRD/ISD)</cp:lastModifiedBy>
  <cp:revision/>
  <dcterms:created xsi:type="dcterms:W3CDTF">2026-01-28T17:58:11Z</dcterms:created>
  <dcterms:modified xsi:type="dcterms:W3CDTF">2026-06-11T14:23:10Z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2026-01-28T17:58:11Z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f51e6ae5-d9ba-418e-b73d-0500ad180c0b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